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4151a74a0f2de/UO_PhD_Year_6/Coastal_martens/"/>
    </mc:Choice>
  </mc:AlternateContent>
  <xr:revisionPtr revIDLastSave="115" documentId="8_{6515A373-B277-44D1-9F1D-226F84F57209}" xr6:coauthVersionLast="47" xr6:coauthVersionMax="47" xr10:uidLastSave="{0E59EA49-8837-485B-897A-B9FC0AF2FA7F}"/>
  <bookViews>
    <workbookView xWindow="-108" yWindow="-108" windowWidth="23256" windowHeight="13896" activeTab="1" xr2:uid="{4FD4A925-F555-D647-8E3A-CC17B42AB412}"/>
  </bookViews>
  <sheets>
    <sheet name="all_results" sheetId="2" r:id="rId1"/>
    <sheet name="orderi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tc={BC70C04B-2669-4A77-AD05-D7693982D738}</author>
    <author>tc={F4A6766E-E0B6-4EB5-98BE-6E579B42C980}</author>
    <author>tc={54E66E7D-D3CC-4519-AB8D-19E12AC69755}</author>
    <author>tc={1E5E0C4D-EF60-44C5-98E2-0A3660DE8687}</author>
  </authors>
  <commentList>
    <comment ref="G1" authorId="0" shapeId="0" xr:uid="{BC70C04B-2669-4A77-AD05-D7693982D738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autosomes, for mapping quality &gt;20</t>
      </text>
    </comment>
    <comment ref="I1" authorId="1" shapeId="0" xr:uid="{F4A6766E-E0B6-4EB5-98BE-6E579B42C9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reads with mapping quality &gt;20</t>
      </text>
    </comment>
    <comment ref="J1" authorId="2" shapeId="0" xr:uid="{54E66E7D-D3CC-4519-AB8D-19E12AC69755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heterozygous sites per basepair from mlRho (theta*1000)</t>
      </text>
    </comment>
    <comment ref="J17" authorId="3" shapeId="0" xr:uid="{1E5E0C4D-EF60-44C5-98E2-0A3660DE868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possible contamination in sample- will not include in subsequent analyses</t>
      </text>
    </comment>
  </commentList>
</comments>
</file>

<file path=xl/sharedStrings.xml><?xml version="1.0" encoding="utf-8"?>
<sst xmlns="http://schemas.openxmlformats.org/spreadsheetml/2006/main" count="259" uniqueCount="112">
  <si>
    <t>population</t>
  </si>
  <si>
    <t>source</t>
  </si>
  <si>
    <t>sample_nickname</t>
  </si>
  <si>
    <t>sample_longname</t>
  </si>
  <si>
    <t xml:space="preserve">MSB197660 </t>
  </si>
  <si>
    <t>species</t>
  </si>
  <si>
    <t>americana</t>
  </si>
  <si>
    <t xml:space="preserve">MSB34701 </t>
  </si>
  <si>
    <t>Colella_2021</t>
  </si>
  <si>
    <t xml:space="preserve">UWBM81779 </t>
  </si>
  <si>
    <t>MSB224027</t>
  </si>
  <si>
    <t>S14-0016</t>
  </si>
  <si>
    <t>S14-0019</t>
  </si>
  <si>
    <t>S14-0021</t>
  </si>
  <si>
    <t>S14-0027</t>
  </si>
  <si>
    <t>S14-0029</t>
  </si>
  <si>
    <t>S14-0050</t>
  </si>
  <si>
    <t>S14-0053</t>
  </si>
  <si>
    <t>S14-0054</t>
  </si>
  <si>
    <t>S14-0058</t>
  </si>
  <si>
    <t>S14-0063</t>
  </si>
  <si>
    <t>S14-0066</t>
  </si>
  <si>
    <t>S20-3568</t>
  </si>
  <si>
    <t>S20-3569</t>
  </si>
  <si>
    <t>S20-3572</t>
  </si>
  <si>
    <t>S20-3574</t>
  </si>
  <si>
    <t>S20-3575</t>
  </si>
  <si>
    <t>S20-3576</t>
  </si>
  <si>
    <t>S20-3577</t>
  </si>
  <si>
    <t>S20-3578</t>
  </si>
  <si>
    <t>S20-3579</t>
  </si>
  <si>
    <t>M05</t>
  </si>
  <si>
    <t>F03</t>
  </si>
  <si>
    <t>M15</t>
  </si>
  <si>
    <t>M16</t>
  </si>
  <si>
    <t>F10</t>
  </si>
  <si>
    <t>CrgBch2023</t>
  </si>
  <si>
    <t>NEWTON2023</t>
  </si>
  <si>
    <t>OR_Dunes_S</t>
  </si>
  <si>
    <t>OR_Cascades</t>
  </si>
  <si>
    <t>OR_Dunes_N</t>
  </si>
  <si>
    <t>CA_North</t>
  </si>
  <si>
    <t>OR_South</t>
  </si>
  <si>
    <t>Central_Alaska</t>
  </si>
  <si>
    <t>Chichagof_Island</t>
  </si>
  <si>
    <t>Washington</t>
  </si>
  <si>
    <t>Colorado</t>
  </si>
  <si>
    <t>CrgBch</t>
  </si>
  <si>
    <t>NEWTON</t>
  </si>
  <si>
    <t>F05cross</t>
  </si>
  <si>
    <t>0016</t>
  </si>
  <si>
    <t>0019</t>
  </si>
  <si>
    <t>0021</t>
  </si>
  <si>
    <t>0027</t>
  </si>
  <si>
    <t>0029</t>
  </si>
  <si>
    <t>0050</t>
  </si>
  <si>
    <t>0053</t>
  </si>
  <si>
    <t>0054</t>
  </si>
  <si>
    <t>0058</t>
  </si>
  <si>
    <t>0063</t>
  </si>
  <si>
    <t>0066</t>
  </si>
  <si>
    <t>3568</t>
  </si>
  <si>
    <t>3569</t>
  </si>
  <si>
    <t>3572</t>
  </si>
  <si>
    <t>3574</t>
  </si>
  <si>
    <t>3575</t>
  </si>
  <si>
    <t>3576</t>
  </si>
  <si>
    <t>3577</t>
  </si>
  <si>
    <t>3578</t>
  </si>
  <si>
    <t>3579</t>
  </si>
  <si>
    <t>M1_CMN_S20-3573 </t>
  </si>
  <si>
    <t>M2_CMS_S20-3571</t>
  </si>
  <si>
    <t>field_ID</t>
  </si>
  <si>
    <t>M33</t>
  </si>
  <si>
    <t>M35</t>
  </si>
  <si>
    <t>M41</t>
  </si>
  <si>
    <t>M43</t>
  </si>
  <si>
    <t>M64</t>
  </si>
  <si>
    <t>M67</t>
  </si>
  <si>
    <t>M68</t>
  </si>
  <si>
    <t>M72</t>
  </si>
  <si>
    <t>M77</t>
  </si>
  <si>
    <t>M84</t>
  </si>
  <si>
    <t>F01</t>
  </si>
  <si>
    <t>F02</t>
  </si>
  <si>
    <t>F06</t>
  </si>
  <si>
    <t>na</t>
  </si>
  <si>
    <t>M01</t>
  </si>
  <si>
    <t>M02</t>
  </si>
  <si>
    <t>M03</t>
  </si>
  <si>
    <t>M04</t>
  </si>
  <si>
    <t>Sius_Rdkl1</t>
  </si>
  <si>
    <t>Sius_Rdkl2</t>
  </si>
  <si>
    <t>F05</t>
  </si>
  <si>
    <t>F07</t>
  </si>
  <si>
    <t>CraigsBeachRdkl2023</t>
  </si>
  <si>
    <t>NewtonRdkl2023</t>
  </si>
  <si>
    <t>c_caurina</t>
  </si>
  <si>
    <t>c_humboldtensis</t>
  </si>
  <si>
    <t>c_origenes</t>
  </si>
  <si>
    <t>Sacks</t>
  </si>
  <si>
    <t>RMRS_Sacks</t>
  </si>
  <si>
    <t>Levi</t>
  </si>
  <si>
    <t>coverage</t>
  </si>
  <si>
    <t>subsampled_coverage</t>
  </si>
  <si>
    <t>number</t>
  </si>
  <si>
    <t>sample_correct_order</t>
  </si>
  <si>
    <t>sample_talapas_order</t>
  </si>
  <si>
    <t>sample_reordered</t>
  </si>
  <si>
    <t>number_reordered</t>
  </si>
  <si>
    <t>mapping_pct</t>
  </si>
  <si>
    <t>genomewide_het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</si>
</sst>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1"/>
      <name val="Tahoma"/>
      <charset val="1"/>
    </font>
    <font>
      <sz val="10"/>
      <color indexed="81"/>
      <name val="Tahoma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1" fontId="1" fillId="0" borderId="0" xfId="0" applyNumberFormat="1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164" fontId="3" fillId="0" borderId="0" xfId="0" applyNumberFormat="1" applyFont="1"/>
    <xf numFmtId="164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vanah Bird" id="{45A01DEF-6651-4E7D-B02F-046383685C29}" userId="cd04151a74a0f2d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3-04T17:22:24.45" personId="{45A01DEF-6651-4E7D-B02F-046383685C29}" id="{BC70C04B-2669-4A77-AD05-D7693982D738}">
    <text>Just autosomes, for mapping quality &gt;20</text>
  </threadedComment>
  <threadedComment ref="I1" dT="2026-03-04T17:22:52.58" personId="{45A01DEF-6651-4E7D-B02F-046383685C29}" id="{F4A6766E-E0B6-4EB5-98BE-6E579B42C980}">
    <text>Primary reads with mapping quality &gt;20</text>
  </threadedComment>
  <threadedComment ref="J1" dT="2026-03-04T17:34:18.40" personId="{45A01DEF-6651-4E7D-B02F-046383685C29}" id="{54E66E7D-D3CC-4519-AB8D-19E12AC69755}">
    <text>Estimated heterozygous sites per basepair from mlRho (theta*1000)</text>
  </threadedComment>
  <threadedComment ref="J17" dT="2026-03-04T17:53:49.81" personId="{45A01DEF-6651-4E7D-B02F-046383685C29}" id="{1E5E0C4D-EF60-44C5-98E2-0A3660DE8687}">
    <text>Indicates possible contamination in sample- will not include in subsequent analyses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B753-68AD-4419-ACA1-D7DF798B8841}">
  <dimension ref="A1:J35"/>
  <sheetViews>
    <sheetView workbookViewId="0">
      <selection activeCell="L20" sqref="L20"/>
    </sheetView>
  </sheetViews>
  <sheetFormatPr defaultColWidth="11.19921875" defaultRowHeight="15.6" x14ac:dyDescent="0.3"/>
  <cols>
    <col min="1" max="1" width="16.5" style="3" bestFit="1" customWidth="1"/>
    <col min="2" max="2" width="17.09765625" style="3" bestFit="1" customWidth="1"/>
    <col min="3" max="3" width="18.796875" style="3" bestFit="1" customWidth="1"/>
    <col min="4" max="4" width="14.69921875" style="3" bestFit="1" customWidth="1"/>
    <col min="5" max="5" width="14.8984375" style="3" bestFit="1" customWidth="1"/>
    <col min="6" max="6" width="12.796875" style="3" customWidth="1"/>
    <col min="7" max="7" width="9.59765625" style="3" customWidth="1"/>
    <col min="8" max="8" width="19.69921875" style="3" bestFit="1" customWidth="1"/>
    <col min="9" max="9" width="12" style="3" customWidth="1"/>
    <col min="10" max="10" width="15.3984375" style="3" customWidth="1"/>
    <col min="11" max="16384" width="11.19921875" style="3"/>
  </cols>
  <sheetData>
    <row r="1" spans="1:10" x14ac:dyDescent="0.3">
      <c r="A1" s="2" t="s">
        <v>2</v>
      </c>
      <c r="B1" s="2" t="s">
        <v>3</v>
      </c>
      <c r="C1" s="2" t="s">
        <v>72</v>
      </c>
      <c r="D1" s="2" t="s">
        <v>5</v>
      </c>
      <c r="E1" s="2" t="s">
        <v>0</v>
      </c>
      <c r="F1" s="2" t="s">
        <v>1</v>
      </c>
      <c r="G1" s="2" t="s">
        <v>103</v>
      </c>
      <c r="H1" s="2" t="s">
        <v>104</v>
      </c>
      <c r="I1" s="2" t="s">
        <v>110</v>
      </c>
      <c r="J1" s="2" t="s">
        <v>111</v>
      </c>
    </row>
    <row r="2" spans="1:10" x14ac:dyDescent="0.3">
      <c r="A2" s="3">
        <v>7660</v>
      </c>
      <c r="B2" s="3" t="s">
        <v>4</v>
      </c>
      <c r="C2" s="3" t="s">
        <v>86</v>
      </c>
      <c r="D2" s="3" t="s">
        <v>6</v>
      </c>
      <c r="E2" s="3" t="s">
        <v>43</v>
      </c>
      <c r="F2" s="3" t="s">
        <v>8</v>
      </c>
      <c r="G2" s="3">
        <v>23.19</v>
      </c>
      <c r="H2" s="3">
        <v>19</v>
      </c>
      <c r="I2" s="3">
        <v>89.05</v>
      </c>
      <c r="J2" s="11">
        <v>1.3699999999999999</v>
      </c>
    </row>
    <row r="3" spans="1:10" x14ac:dyDescent="0.3">
      <c r="A3" s="3">
        <v>4701</v>
      </c>
      <c r="B3" s="3" t="s">
        <v>7</v>
      </c>
      <c r="C3" s="3" t="s">
        <v>86</v>
      </c>
      <c r="D3" s="3" t="s">
        <v>6</v>
      </c>
      <c r="E3" s="3" t="s">
        <v>44</v>
      </c>
      <c r="F3" s="3" t="s">
        <v>8</v>
      </c>
      <c r="G3" s="3">
        <v>21.72</v>
      </c>
      <c r="H3" s="3">
        <v>19</v>
      </c>
      <c r="I3" s="3">
        <v>91.11</v>
      </c>
      <c r="J3" s="11">
        <v>1.35</v>
      </c>
    </row>
    <row r="4" spans="1:10" x14ac:dyDescent="0.3">
      <c r="A4" s="3">
        <v>1779</v>
      </c>
      <c r="B4" s="3" t="s">
        <v>9</v>
      </c>
      <c r="C4" s="3" t="s">
        <v>86</v>
      </c>
      <c r="D4" s="3" t="s">
        <v>97</v>
      </c>
      <c r="E4" s="3" t="s">
        <v>45</v>
      </c>
      <c r="F4" s="3" t="s">
        <v>8</v>
      </c>
      <c r="G4" s="3">
        <v>29.05</v>
      </c>
      <c r="H4" s="3">
        <v>19</v>
      </c>
      <c r="I4" s="3">
        <v>90.5</v>
      </c>
      <c r="J4" s="11">
        <v>1.06</v>
      </c>
    </row>
    <row r="5" spans="1:10" x14ac:dyDescent="0.3">
      <c r="A5" s="3">
        <v>4027</v>
      </c>
      <c r="B5" s="3" t="s">
        <v>10</v>
      </c>
      <c r="C5" s="3" t="s">
        <v>86</v>
      </c>
      <c r="D5" s="3" t="s">
        <v>99</v>
      </c>
      <c r="E5" s="3" t="s">
        <v>46</v>
      </c>
      <c r="F5" s="3" t="s">
        <v>8</v>
      </c>
      <c r="G5" s="3">
        <v>30.52</v>
      </c>
      <c r="H5" s="3">
        <v>19</v>
      </c>
      <c r="I5" s="3">
        <v>87.93</v>
      </c>
      <c r="J5" s="11">
        <v>1.08</v>
      </c>
    </row>
    <row r="6" spans="1:10" x14ac:dyDescent="0.3">
      <c r="A6" s="3" t="s">
        <v>51</v>
      </c>
      <c r="B6" s="3" t="s">
        <v>12</v>
      </c>
      <c r="C6" s="7" t="s">
        <v>73</v>
      </c>
      <c r="D6" s="3" t="s">
        <v>97</v>
      </c>
      <c r="E6" s="3" t="s">
        <v>39</v>
      </c>
      <c r="F6" s="3" t="s">
        <v>100</v>
      </c>
      <c r="G6" s="3">
        <v>17.399999999999999</v>
      </c>
      <c r="H6" s="3" t="s">
        <v>86</v>
      </c>
      <c r="I6" s="3">
        <v>92.83</v>
      </c>
      <c r="J6" s="11">
        <v>0.98299999999999998</v>
      </c>
    </row>
    <row r="7" spans="1:10" x14ac:dyDescent="0.3">
      <c r="A7" s="3" t="s">
        <v>52</v>
      </c>
      <c r="B7" s="3" t="s">
        <v>13</v>
      </c>
      <c r="C7" s="7" t="s">
        <v>74</v>
      </c>
      <c r="D7" s="3" t="s">
        <v>97</v>
      </c>
      <c r="E7" s="3" t="s">
        <v>39</v>
      </c>
      <c r="F7" s="3" t="s">
        <v>100</v>
      </c>
      <c r="G7" s="3">
        <v>17.38</v>
      </c>
      <c r="H7" s="3" t="s">
        <v>86</v>
      </c>
      <c r="I7" s="3">
        <v>90.66</v>
      </c>
      <c r="J7" s="11">
        <v>1.03</v>
      </c>
    </row>
    <row r="8" spans="1:10" x14ac:dyDescent="0.3">
      <c r="A8" s="3" t="s">
        <v>53</v>
      </c>
      <c r="B8" s="3" t="s">
        <v>14</v>
      </c>
      <c r="C8" s="7" t="s">
        <v>75</v>
      </c>
      <c r="D8" s="3" t="s">
        <v>97</v>
      </c>
      <c r="E8" s="3" t="s">
        <v>39</v>
      </c>
      <c r="F8" s="3" t="s">
        <v>100</v>
      </c>
      <c r="G8" s="3">
        <v>18.07</v>
      </c>
      <c r="H8" s="3" t="s">
        <v>86</v>
      </c>
      <c r="I8" s="3">
        <v>92.43</v>
      </c>
      <c r="J8" s="11">
        <v>1.01</v>
      </c>
    </row>
    <row r="9" spans="1:10" x14ac:dyDescent="0.3">
      <c r="A9" s="3" t="s">
        <v>54</v>
      </c>
      <c r="B9" s="3" t="s">
        <v>15</v>
      </c>
      <c r="C9" s="7" t="s">
        <v>76</v>
      </c>
      <c r="D9" s="3" t="s">
        <v>97</v>
      </c>
      <c r="E9" s="3" t="s">
        <v>39</v>
      </c>
      <c r="F9" s="3" t="s">
        <v>100</v>
      </c>
      <c r="G9" s="3">
        <v>16.45</v>
      </c>
      <c r="H9" s="3" t="s">
        <v>86</v>
      </c>
      <c r="I9" s="3">
        <v>92.81</v>
      </c>
      <c r="J9" s="11">
        <v>1.02</v>
      </c>
    </row>
    <row r="10" spans="1:10" x14ac:dyDescent="0.3">
      <c r="A10" s="3" t="s">
        <v>55</v>
      </c>
      <c r="B10" s="3" t="s">
        <v>16</v>
      </c>
      <c r="C10" s="7" t="s">
        <v>77</v>
      </c>
      <c r="D10" s="3" t="s">
        <v>97</v>
      </c>
      <c r="E10" s="3" t="s">
        <v>39</v>
      </c>
      <c r="F10" s="3" t="s">
        <v>100</v>
      </c>
      <c r="G10" s="3">
        <v>18.96</v>
      </c>
      <c r="H10" s="3" t="s">
        <v>86</v>
      </c>
      <c r="I10" s="3">
        <v>91.38</v>
      </c>
      <c r="J10" s="11">
        <v>1.06</v>
      </c>
    </row>
    <row r="11" spans="1:10" x14ac:dyDescent="0.3">
      <c r="A11" s="3" t="s">
        <v>56</v>
      </c>
      <c r="B11" s="3" t="s">
        <v>17</v>
      </c>
      <c r="C11" s="7" t="s">
        <v>78</v>
      </c>
      <c r="D11" s="3" t="s">
        <v>97</v>
      </c>
      <c r="E11" s="3" t="s">
        <v>39</v>
      </c>
      <c r="F11" s="3" t="s">
        <v>100</v>
      </c>
      <c r="G11" s="3">
        <v>17.47</v>
      </c>
      <c r="H11" s="3" t="s">
        <v>86</v>
      </c>
      <c r="I11" s="3">
        <v>92.9</v>
      </c>
      <c r="J11" s="11">
        <v>0.99400000000000011</v>
      </c>
    </row>
    <row r="12" spans="1:10" x14ac:dyDescent="0.3">
      <c r="A12" s="3" t="s">
        <v>57</v>
      </c>
      <c r="B12" s="3" t="s">
        <v>18</v>
      </c>
      <c r="C12" s="7" t="s">
        <v>79</v>
      </c>
      <c r="D12" s="3" t="s">
        <v>97</v>
      </c>
      <c r="E12" s="3" t="s">
        <v>39</v>
      </c>
      <c r="F12" s="3" t="s">
        <v>100</v>
      </c>
      <c r="G12" s="3">
        <v>17.440000000000001</v>
      </c>
      <c r="H12" s="3" t="s">
        <v>86</v>
      </c>
      <c r="I12" s="3">
        <v>92.77</v>
      </c>
      <c r="J12" s="11">
        <v>1.02</v>
      </c>
    </row>
    <row r="13" spans="1:10" x14ac:dyDescent="0.3">
      <c r="A13" s="3" t="s">
        <v>58</v>
      </c>
      <c r="B13" s="3" t="s">
        <v>19</v>
      </c>
      <c r="C13" s="7" t="s">
        <v>80</v>
      </c>
      <c r="D13" s="3" t="s">
        <v>97</v>
      </c>
      <c r="E13" s="3" t="s">
        <v>39</v>
      </c>
      <c r="F13" s="3" t="s">
        <v>100</v>
      </c>
      <c r="G13" s="3">
        <v>18.760000000000002</v>
      </c>
      <c r="H13" s="3" t="s">
        <v>86</v>
      </c>
      <c r="I13" s="3">
        <v>92.73</v>
      </c>
      <c r="J13" s="11">
        <v>1.05</v>
      </c>
    </row>
    <row r="14" spans="1:10" x14ac:dyDescent="0.3">
      <c r="A14" s="3" t="s">
        <v>59</v>
      </c>
      <c r="B14" s="3" t="s">
        <v>20</v>
      </c>
      <c r="C14" s="7" t="s">
        <v>81</v>
      </c>
      <c r="D14" s="3" t="s">
        <v>97</v>
      </c>
      <c r="E14" s="3" t="s">
        <v>39</v>
      </c>
      <c r="F14" s="3" t="s">
        <v>100</v>
      </c>
      <c r="G14" s="3">
        <v>20.57</v>
      </c>
      <c r="H14" s="3" t="s">
        <v>86</v>
      </c>
      <c r="I14" s="3">
        <v>92.55</v>
      </c>
      <c r="J14" s="11">
        <v>1.08</v>
      </c>
    </row>
    <row r="15" spans="1:10" x14ac:dyDescent="0.3">
      <c r="A15" s="3" t="s">
        <v>60</v>
      </c>
      <c r="B15" s="3" t="s">
        <v>21</v>
      </c>
      <c r="C15" s="7" t="s">
        <v>82</v>
      </c>
      <c r="D15" s="3" t="s">
        <v>97</v>
      </c>
      <c r="E15" s="3" t="s">
        <v>39</v>
      </c>
      <c r="F15" s="3" t="s">
        <v>100</v>
      </c>
      <c r="G15" s="3">
        <v>21.44</v>
      </c>
      <c r="H15" s="3" t="s">
        <v>86</v>
      </c>
      <c r="I15" s="3">
        <v>89.41</v>
      </c>
      <c r="J15" s="11">
        <v>1.1199999999999999</v>
      </c>
    </row>
    <row r="16" spans="1:10" x14ac:dyDescent="0.3">
      <c r="A16" s="3" t="s">
        <v>47</v>
      </c>
      <c r="B16" s="3" t="s">
        <v>36</v>
      </c>
      <c r="C16" s="3" t="s">
        <v>95</v>
      </c>
      <c r="D16" s="3" t="s">
        <v>98</v>
      </c>
      <c r="E16" s="3" t="s">
        <v>41</v>
      </c>
      <c r="F16" s="3" t="s">
        <v>102</v>
      </c>
      <c r="G16" s="3">
        <v>20.3</v>
      </c>
      <c r="H16" s="3" t="s">
        <v>86</v>
      </c>
      <c r="I16" s="3">
        <v>92.04</v>
      </c>
      <c r="J16" s="11">
        <v>0.92699999999999994</v>
      </c>
    </row>
    <row r="17" spans="1:10" x14ac:dyDescent="0.3">
      <c r="A17" s="3" t="s">
        <v>32</v>
      </c>
      <c r="B17" s="3" t="s">
        <v>32</v>
      </c>
      <c r="C17" s="7" t="s">
        <v>32</v>
      </c>
      <c r="D17" s="3" t="s">
        <v>98</v>
      </c>
      <c r="E17" s="3" t="s">
        <v>41</v>
      </c>
      <c r="F17" s="3" t="s">
        <v>102</v>
      </c>
      <c r="G17" s="3">
        <v>17.27</v>
      </c>
      <c r="H17" s="3" t="s">
        <v>86</v>
      </c>
      <c r="I17" s="3">
        <v>79.69</v>
      </c>
      <c r="J17" s="12">
        <v>45.199999999999996</v>
      </c>
    </row>
    <row r="18" spans="1:10" x14ac:dyDescent="0.3">
      <c r="A18" s="3" t="s">
        <v>31</v>
      </c>
      <c r="B18" s="3" t="s">
        <v>31</v>
      </c>
      <c r="C18" s="7" t="s">
        <v>31</v>
      </c>
      <c r="D18" s="3" t="s">
        <v>98</v>
      </c>
      <c r="E18" s="3" t="s">
        <v>41</v>
      </c>
      <c r="F18" s="3" t="s">
        <v>102</v>
      </c>
      <c r="G18" s="3">
        <v>18.07</v>
      </c>
      <c r="H18" s="3" t="s">
        <v>86</v>
      </c>
      <c r="I18" s="3">
        <v>92.99</v>
      </c>
      <c r="J18" s="11">
        <v>0.877</v>
      </c>
    </row>
    <row r="19" spans="1:10" x14ac:dyDescent="0.3">
      <c r="A19" s="3" t="s">
        <v>48</v>
      </c>
      <c r="B19" s="3" t="s">
        <v>37</v>
      </c>
      <c r="C19" s="7" t="s">
        <v>96</v>
      </c>
      <c r="D19" s="3" t="s">
        <v>98</v>
      </c>
      <c r="E19" s="3" t="s">
        <v>41</v>
      </c>
      <c r="F19" s="3" t="s">
        <v>102</v>
      </c>
      <c r="G19" s="3">
        <v>18.11</v>
      </c>
      <c r="H19" s="3" t="s">
        <v>86</v>
      </c>
      <c r="I19" s="3">
        <v>93.04</v>
      </c>
      <c r="J19" s="11">
        <v>0.90300000000000002</v>
      </c>
    </row>
    <row r="20" spans="1:10" x14ac:dyDescent="0.3">
      <c r="A20" s="3" t="s">
        <v>49</v>
      </c>
      <c r="B20" s="3" t="s">
        <v>49</v>
      </c>
      <c r="C20" s="3" t="s">
        <v>49</v>
      </c>
      <c r="D20" s="3" t="s">
        <v>98</v>
      </c>
      <c r="E20" s="3" t="s">
        <v>42</v>
      </c>
      <c r="F20" s="3" t="s">
        <v>102</v>
      </c>
      <c r="G20" s="3">
        <v>18.61</v>
      </c>
      <c r="H20" s="3" t="s">
        <v>86</v>
      </c>
      <c r="I20" s="3">
        <v>92.79</v>
      </c>
      <c r="J20" s="11">
        <v>0.90500000000000003</v>
      </c>
    </row>
    <row r="21" spans="1:10" x14ac:dyDescent="0.3">
      <c r="A21" s="3" t="s">
        <v>35</v>
      </c>
      <c r="B21" s="3" t="s">
        <v>35</v>
      </c>
      <c r="C21" s="7" t="s">
        <v>35</v>
      </c>
      <c r="D21" s="3" t="s">
        <v>98</v>
      </c>
      <c r="E21" s="3" t="s">
        <v>42</v>
      </c>
      <c r="F21" s="3" t="s">
        <v>102</v>
      </c>
      <c r="G21" s="3">
        <v>17.87</v>
      </c>
      <c r="H21" s="3" t="s">
        <v>86</v>
      </c>
      <c r="I21" s="3">
        <v>92.68</v>
      </c>
      <c r="J21" s="11">
        <v>0.89800000000000002</v>
      </c>
    </row>
    <row r="22" spans="1:10" x14ac:dyDescent="0.3">
      <c r="A22" s="3" t="s">
        <v>33</v>
      </c>
      <c r="B22" s="3" t="s">
        <v>33</v>
      </c>
      <c r="C22" s="7" t="s">
        <v>33</v>
      </c>
      <c r="D22" s="3" t="s">
        <v>98</v>
      </c>
      <c r="E22" s="3" t="s">
        <v>42</v>
      </c>
      <c r="F22" s="3" t="s">
        <v>102</v>
      </c>
      <c r="G22" s="3">
        <v>19.399999999999999</v>
      </c>
      <c r="H22" s="3" t="s">
        <v>86</v>
      </c>
      <c r="I22" s="3">
        <v>93</v>
      </c>
      <c r="J22" s="11">
        <v>0.9</v>
      </c>
    </row>
    <row r="23" spans="1:10" x14ac:dyDescent="0.3">
      <c r="A23" s="3" t="s">
        <v>34</v>
      </c>
      <c r="B23" s="3" t="s">
        <v>34</v>
      </c>
      <c r="C23" s="7" t="s">
        <v>34</v>
      </c>
      <c r="D23" s="3" t="s">
        <v>98</v>
      </c>
      <c r="E23" s="3" t="s">
        <v>42</v>
      </c>
      <c r="F23" s="3" t="s">
        <v>102</v>
      </c>
      <c r="G23" s="3">
        <v>18.239999999999998</v>
      </c>
      <c r="H23" s="3" t="s">
        <v>86</v>
      </c>
      <c r="I23" s="3">
        <v>92.85</v>
      </c>
      <c r="J23" s="11">
        <v>0.875</v>
      </c>
    </row>
    <row r="24" spans="1:10" x14ac:dyDescent="0.3">
      <c r="A24" s="3">
        <v>3571</v>
      </c>
      <c r="B24" s="3" t="s">
        <v>71</v>
      </c>
      <c r="C24" s="3" t="s">
        <v>93</v>
      </c>
      <c r="D24" s="3" t="s">
        <v>98</v>
      </c>
      <c r="E24" s="3" t="s">
        <v>38</v>
      </c>
      <c r="F24" s="3" t="s">
        <v>101</v>
      </c>
      <c r="G24" s="3">
        <v>22</v>
      </c>
      <c r="H24" s="3" t="s">
        <v>86</v>
      </c>
      <c r="I24" s="3">
        <v>92.1</v>
      </c>
      <c r="J24" s="11">
        <v>0.76999999999999991</v>
      </c>
    </row>
    <row r="25" spans="1:10" x14ac:dyDescent="0.3">
      <c r="A25" s="3" t="s">
        <v>50</v>
      </c>
      <c r="B25" s="3" t="s">
        <v>11</v>
      </c>
      <c r="C25" s="3" t="s">
        <v>86</v>
      </c>
      <c r="D25" s="3" t="s">
        <v>98</v>
      </c>
      <c r="E25" s="3" t="s">
        <v>38</v>
      </c>
      <c r="F25" s="3" t="s">
        <v>100</v>
      </c>
      <c r="G25" s="3">
        <v>18.07</v>
      </c>
      <c r="H25" s="3" t="s">
        <v>86</v>
      </c>
      <c r="I25" s="3">
        <v>92.22</v>
      </c>
      <c r="J25" s="11">
        <v>0.88900000000000001</v>
      </c>
    </row>
    <row r="26" spans="1:10" x14ac:dyDescent="0.3">
      <c r="A26" s="3" t="s">
        <v>64</v>
      </c>
      <c r="B26" s="3" t="s">
        <v>25</v>
      </c>
      <c r="C26" s="7" t="s">
        <v>87</v>
      </c>
      <c r="D26" s="3" t="s">
        <v>98</v>
      </c>
      <c r="E26" s="3" t="s">
        <v>38</v>
      </c>
      <c r="F26" s="3" t="s">
        <v>101</v>
      </c>
      <c r="G26" s="3">
        <v>21.03</v>
      </c>
      <c r="H26" s="3" t="s">
        <v>86</v>
      </c>
      <c r="I26" s="3">
        <v>91.35</v>
      </c>
      <c r="J26" s="11">
        <v>0.84699999999999998</v>
      </c>
    </row>
    <row r="27" spans="1:10" x14ac:dyDescent="0.3">
      <c r="A27" s="3" t="s">
        <v>67</v>
      </c>
      <c r="B27" s="3" t="s">
        <v>28</v>
      </c>
      <c r="C27" s="7" t="s">
        <v>90</v>
      </c>
      <c r="D27" s="3" t="s">
        <v>98</v>
      </c>
      <c r="E27" s="3" t="s">
        <v>38</v>
      </c>
      <c r="F27" s="3" t="s">
        <v>101</v>
      </c>
      <c r="G27" s="3">
        <v>20.239999999999998</v>
      </c>
      <c r="H27" s="3" t="s">
        <v>86</v>
      </c>
      <c r="I27" s="3">
        <v>90.81</v>
      </c>
      <c r="J27" s="11">
        <v>0.83500000000000008</v>
      </c>
    </row>
    <row r="28" spans="1:10" x14ac:dyDescent="0.3">
      <c r="A28" s="3" t="s">
        <v>69</v>
      </c>
      <c r="B28" s="3" t="s">
        <v>30</v>
      </c>
      <c r="C28" s="7" t="s">
        <v>92</v>
      </c>
      <c r="D28" s="3" t="s">
        <v>98</v>
      </c>
      <c r="E28" s="3" t="s">
        <v>38</v>
      </c>
      <c r="F28" s="3" t="s">
        <v>101</v>
      </c>
      <c r="G28" s="3">
        <v>20.239999999999998</v>
      </c>
      <c r="H28" s="3" t="s">
        <v>86</v>
      </c>
      <c r="I28" s="3">
        <v>92.31</v>
      </c>
      <c r="J28" s="11">
        <v>0.76200000000000001</v>
      </c>
    </row>
    <row r="29" spans="1:10" x14ac:dyDescent="0.3">
      <c r="A29" s="3">
        <v>3573</v>
      </c>
      <c r="B29" s="3" t="s">
        <v>70</v>
      </c>
      <c r="C29" s="3" t="s">
        <v>94</v>
      </c>
      <c r="D29" s="3" t="s">
        <v>98</v>
      </c>
      <c r="E29" s="3" t="s">
        <v>40</v>
      </c>
      <c r="F29" s="3" t="s">
        <v>101</v>
      </c>
      <c r="G29" s="3">
        <v>19.36</v>
      </c>
      <c r="H29" s="3" t="s">
        <v>86</v>
      </c>
      <c r="I29" s="3">
        <v>92.59</v>
      </c>
      <c r="J29" s="11">
        <v>0.70399999999999996</v>
      </c>
    </row>
    <row r="30" spans="1:10" x14ac:dyDescent="0.3">
      <c r="A30" s="3" t="s">
        <v>61</v>
      </c>
      <c r="B30" s="3" t="s">
        <v>22</v>
      </c>
      <c r="C30" s="7" t="s">
        <v>83</v>
      </c>
      <c r="D30" s="3" t="s">
        <v>98</v>
      </c>
      <c r="E30" s="3" t="s">
        <v>40</v>
      </c>
      <c r="F30" s="3" t="s">
        <v>101</v>
      </c>
      <c r="G30" s="3">
        <v>20.49</v>
      </c>
      <c r="H30" s="3" t="s">
        <v>86</v>
      </c>
      <c r="I30" s="3">
        <v>91</v>
      </c>
      <c r="J30" s="11">
        <v>0.74399999999999999</v>
      </c>
    </row>
    <row r="31" spans="1:10" x14ac:dyDescent="0.3">
      <c r="A31" s="3" t="s">
        <v>62</v>
      </c>
      <c r="B31" s="3" t="s">
        <v>23</v>
      </c>
      <c r="C31" s="7" t="s">
        <v>84</v>
      </c>
      <c r="D31" s="3" t="s">
        <v>98</v>
      </c>
      <c r="E31" s="3" t="s">
        <v>40</v>
      </c>
      <c r="F31" s="3" t="s">
        <v>101</v>
      </c>
      <c r="G31" s="3">
        <v>18.53</v>
      </c>
      <c r="H31" s="3" t="s">
        <v>86</v>
      </c>
      <c r="I31" s="3">
        <v>92.86</v>
      </c>
      <c r="J31" s="11">
        <v>0.77899999999999991</v>
      </c>
    </row>
    <row r="32" spans="1:10" x14ac:dyDescent="0.3">
      <c r="A32" s="3" t="s">
        <v>63</v>
      </c>
      <c r="B32" s="3" t="s">
        <v>24</v>
      </c>
      <c r="C32" s="7" t="s">
        <v>85</v>
      </c>
      <c r="D32" s="3" t="s">
        <v>98</v>
      </c>
      <c r="E32" s="3" t="s">
        <v>40</v>
      </c>
      <c r="F32" s="3" t="s">
        <v>101</v>
      </c>
      <c r="G32" s="3">
        <v>21.81</v>
      </c>
      <c r="H32" s="3" t="s">
        <v>86</v>
      </c>
      <c r="I32" s="3">
        <v>92.4</v>
      </c>
      <c r="J32" s="11">
        <v>0.79100000000000004</v>
      </c>
    </row>
    <row r="33" spans="1:10" x14ac:dyDescent="0.3">
      <c r="A33" s="3" t="s">
        <v>65</v>
      </c>
      <c r="B33" s="3" t="s">
        <v>26</v>
      </c>
      <c r="C33" s="7" t="s">
        <v>88</v>
      </c>
      <c r="D33" s="3" t="s">
        <v>98</v>
      </c>
      <c r="E33" s="3" t="s">
        <v>40</v>
      </c>
      <c r="F33" s="3" t="s">
        <v>101</v>
      </c>
      <c r="G33" s="3">
        <v>19.95</v>
      </c>
      <c r="H33" s="3" t="s">
        <v>86</v>
      </c>
      <c r="I33" s="3">
        <v>92.9</v>
      </c>
      <c r="J33" s="11">
        <v>0.76300000000000001</v>
      </c>
    </row>
    <row r="34" spans="1:10" x14ac:dyDescent="0.3">
      <c r="A34" s="3" t="s">
        <v>66</v>
      </c>
      <c r="B34" s="3" t="s">
        <v>27</v>
      </c>
      <c r="C34" s="7" t="s">
        <v>89</v>
      </c>
      <c r="D34" s="3" t="s">
        <v>98</v>
      </c>
      <c r="E34" s="3" t="s">
        <v>40</v>
      </c>
      <c r="F34" s="3" t="s">
        <v>101</v>
      </c>
      <c r="G34" s="3">
        <v>19.940000000000001</v>
      </c>
      <c r="H34" s="3" t="s">
        <v>86</v>
      </c>
      <c r="I34" s="3">
        <v>92.87</v>
      </c>
      <c r="J34" s="11">
        <v>0.79500000000000004</v>
      </c>
    </row>
    <row r="35" spans="1:10" x14ac:dyDescent="0.3">
      <c r="A35" s="3" t="s">
        <v>68</v>
      </c>
      <c r="B35" s="3" t="s">
        <v>29</v>
      </c>
      <c r="C35" s="7" t="s">
        <v>91</v>
      </c>
      <c r="D35" s="3" t="s">
        <v>98</v>
      </c>
      <c r="E35" s="3" t="s">
        <v>40</v>
      </c>
      <c r="F35" s="3" t="s">
        <v>101</v>
      </c>
      <c r="G35" s="3">
        <v>18.93</v>
      </c>
      <c r="H35" s="3" t="s">
        <v>86</v>
      </c>
      <c r="I35" s="3">
        <v>92.47</v>
      </c>
      <c r="J35" s="11">
        <v>0.69</v>
      </c>
    </row>
  </sheetData>
  <sortState xmlns:xlrd2="http://schemas.microsoft.com/office/spreadsheetml/2017/richdata2" ref="A2:F36">
    <sortCondition ref="E2:E36" customList="Central_Alaska,Chichagof_Island,Washington,Colorado,OR_Cascades,CA_North,OR_South,OR_Dunes_S,OR_Dunes_N"/>
    <sortCondition ref="A2:A36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1125-F932-48A9-888A-EE7B7ED4110B}">
  <dimension ref="A1:F35"/>
  <sheetViews>
    <sheetView tabSelected="1" zoomScale="80" zoomScaleNormal="80" workbookViewId="0">
      <selection activeCell="M32" sqref="M32"/>
    </sheetView>
  </sheetViews>
  <sheetFormatPr defaultRowHeight="15.6" x14ac:dyDescent="0.3"/>
  <cols>
    <col min="1" max="1" width="19" style="5" bestFit="1" customWidth="1"/>
    <col min="2" max="2" width="19.09765625" bestFit="1" customWidth="1"/>
    <col min="5" max="5" width="15.69921875" bestFit="1" customWidth="1"/>
    <col min="6" max="6" width="16" bestFit="1" customWidth="1"/>
  </cols>
  <sheetData>
    <row r="1" spans="1:6" s="1" customFormat="1" x14ac:dyDescent="0.3">
      <c r="A1" s="6" t="s">
        <v>106</v>
      </c>
      <c r="B1" s="1" t="s">
        <v>107</v>
      </c>
      <c r="C1" s="1" t="s">
        <v>105</v>
      </c>
      <c r="E1" s="1" t="s">
        <v>108</v>
      </c>
      <c r="F1" s="1" t="s">
        <v>109</v>
      </c>
    </row>
    <row r="2" spans="1:6" x14ac:dyDescent="0.3">
      <c r="A2" s="4">
        <v>7660</v>
      </c>
      <c r="B2" s="8">
        <v>7660</v>
      </c>
      <c r="C2" s="10">
        <v>1.3699999999999999</v>
      </c>
      <c r="E2">
        <f>_xlfn.XLOOKUP(B2,$B:$B,$A:$A)</f>
        <v>7660</v>
      </c>
      <c r="F2">
        <f>_xlfn.XLOOKUP(A2,$B:$B,$C:$C)</f>
        <v>1.3699999999999999</v>
      </c>
    </row>
    <row r="3" spans="1:6" x14ac:dyDescent="0.3">
      <c r="A3" s="4">
        <v>4701</v>
      </c>
      <c r="B3" s="8">
        <v>4701</v>
      </c>
      <c r="C3" s="10">
        <v>1.35</v>
      </c>
      <c r="E3">
        <f t="shared" ref="E3:E35" si="0">_xlfn.XLOOKUP(B3,$B:$B,$A:$A)</f>
        <v>4701</v>
      </c>
      <c r="F3">
        <f t="shared" ref="F3:F35" si="1">_xlfn.XLOOKUP(A3,$B:$B,$C:$C)</f>
        <v>1.35</v>
      </c>
    </row>
    <row r="4" spans="1:6" x14ac:dyDescent="0.3">
      <c r="A4" s="4">
        <v>1779</v>
      </c>
      <c r="B4" s="3">
        <v>4027</v>
      </c>
      <c r="C4" s="10">
        <v>1.08</v>
      </c>
      <c r="E4">
        <f t="shared" si="0"/>
        <v>1779</v>
      </c>
      <c r="F4">
        <f t="shared" si="1"/>
        <v>1.06</v>
      </c>
    </row>
    <row r="5" spans="1:6" x14ac:dyDescent="0.3">
      <c r="A5" s="4">
        <v>4027</v>
      </c>
      <c r="B5" s="3">
        <v>1779</v>
      </c>
      <c r="C5" s="10">
        <v>1.06</v>
      </c>
      <c r="E5">
        <f t="shared" si="0"/>
        <v>4027</v>
      </c>
      <c r="F5">
        <f t="shared" si="1"/>
        <v>1.08</v>
      </c>
    </row>
    <row r="6" spans="1:6" x14ac:dyDescent="0.3">
      <c r="A6" s="4">
        <v>19</v>
      </c>
      <c r="B6" s="9">
        <v>19</v>
      </c>
      <c r="C6" s="10">
        <v>0.98299999999999998</v>
      </c>
      <c r="E6">
        <f t="shared" si="0"/>
        <v>19</v>
      </c>
      <c r="F6">
        <f t="shared" si="1"/>
        <v>0.98299999999999998</v>
      </c>
    </row>
    <row r="7" spans="1:6" x14ac:dyDescent="0.3">
      <c r="A7" s="4">
        <v>21</v>
      </c>
      <c r="B7" s="9">
        <v>21</v>
      </c>
      <c r="C7" s="10">
        <v>1.03</v>
      </c>
      <c r="E7">
        <f t="shared" si="0"/>
        <v>21</v>
      </c>
      <c r="F7">
        <f t="shared" si="1"/>
        <v>1.03</v>
      </c>
    </row>
    <row r="8" spans="1:6" x14ac:dyDescent="0.3">
      <c r="A8" s="4">
        <v>27</v>
      </c>
      <c r="B8" s="9">
        <v>27</v>
      </c>
      <c r="C8" s="10">
        <v>1.01</v>
      </c>
      <c r="E8">
        <f t="shared" si="0"/>
        <v>27</v>
      </c>
      <c r="F8">
        <f t="shared" si="1"/>
        <v>1.01</v>
      </c>
    </row>
    <row r="9" spans="1:6" x14ac:dyDescent="0.3">
      <c r="A9" s="4">
        <v>29</v>
      </c>
      <c r="B9" s="9">
        <v>29</v>
      </c>
      <c r="C9" s="10">
        <v>1.02</v>
      </c>
      <c r="E9">
        <f t="shared" si="0"/>
        <v>29</v>
      </c>
      <c r="F9">
        <f t="shared" si="1"/>
        <v>1.02</v>
      </c>
    </row>
    <row r="10" spans="1:6" x14ac:dyDescent="0.3">
      <c r="A10" s="4">
        <v>50</v>
      </c>
      <c r="B10" s="9">
        <v>50</v>
      </c>
      <c r="C10" s="10">
        <v>1.06</v>
      </c>
      <c r="E10">
        <f t="shared" si="0"/>
        <v>50</v>
      </c>
      <c r="F10">
        <f t="shared" si="1"/>
        <v>1.06</v>
      </c>
    </row>
    <row r="11" spans="1:6" x14ac:dyDescent="0.3">
      <c r="A11" s="4">
        <v>53</v>
      </c>
      <c r="B11" s="9">
        <v>53</v>
      </c>
      <c r="C11" s="10">
        <v>0.99400000000000011</v>
      </c>
      <c r="E11">
        <f t="shared" si="0"/>
        <v>53</v>
      </c>
      <c r="F11">
        <f t="shared" si="1"/>
        <v>0.99400000000000011</v>
      </c>
    </row>
    <row r="12" spans="1:6" x14ac:dyDescent="0.3">
      <c r="A12" s="4">
        <v>54</v>
      </c>
      <c r="B12" s="9">
        <v>54</v>
      </c>
      <c r="C12" s="10">
        <v>1.02</v>
      </c>
      <c r="E12">
        <f t="shared" si="0"/>
        <v>54</v>
      </c>
      <c r="F12">
        <f t="shared" si="1"/>
        <v>1.02</v>
      </c>
    </row>
    <row r="13" spans="1:6" x14ac:dyDescent="0.3">
      <c r="A13" s="4">
        <v>58</v>
      </c>
      <c r="B13" s="9">
        <v>58</v>
      </c>
      <c r="C13" s="10">
        <v>1.05</v>
      </c>
      <c r="E13">
        <f t="shared" si="0"/>
        <v>58</v>
      </c>
      <c r="F13">
        <f t="shared" si="1"/>
        <v>1.05</v>
      </c>
    </row>
    <row r="14" spans="1:6" x14ac:dyDescent="0.3">
      <c r="A14" s="4">
        <v>63</v>
      </c>
      <c r="B14" s="9">
        <v>63</v>
      </c>
      <c r="C14" s="10">
        <v>1.08</v>
      </c>
      <c r="E14">
        <f t="shared" si="0"/>
        <v>63</v>
      </c>
      <c r="F14">
        <f t="shared" si="1"/>
        <v>1.08</v>
      </c>
    </row>
    <row r="15" spans="1:6" x14ac:dyDescent="0.3">
      <c r="A15" s="4">
        <v>66</v>
      </c>
      <c r="B15" s="9">
        <v>66</v>
      </c>
      <c r="C15" s="10">
        <v>1.1199999999999999</v>
      </c>
      <c r="E15">
        <f t="shared" si="0"/>
        <v>66</v>
      </c>
      <c r="F15">
        <f t="shared" si="1"/>
        <v>1.1199999999999999</v>
      </c>
    </row>
    <row r="16" spans="1:6" x14ac:dyDescent="0.3">
      <c r="A16" s="4" t="s">
        <v>47</v>
      </c>
      <c r="B16" s="3" t="s">
        <v>47</v>
      </c>
      <c r="C16" s="10">
        <v>0.92699999999999994</v>
      </c>
      <c r="E16" t="str">
        <f t="shared" si="0"/>
        <v>CrgBch</v>
      </c>
      <c r="F16">
        <f t="shared" si="1"/>
        <v>0.92699999999999994</v>
      </c>
    </row>
    <row r="17" spans="1:6" x14ac:dyDescent="0.3">
      <c r="A17" s="4" t="s">
        <v>32</v>
      </c>
      <c r="B17" s="3" t="s">
        <v>32</v>
      </c>
      <c r="C17" s="10">
        <v>45.199999999999996</v>
      </c>
      <c r="E17" t="str">
        <f t="shared" si="0"/>
        <v>F03</v>
      </c>
      <c r="F17">
        <f t="shared" si="1"/>
        <v>45.199999999999996</v>
      </c>
    </row>
    <row r="18" spans="1:6" x14ac:dyDescent="0.3">
      <c r="A18" s="4" t="s">
        <v>31</v>
      </c>
      <c r="B18" s="3" t="s">
        <v>31</v>
      </c>
      <c r="C18" s="10">
        <v>0.877</v>
      </c>
      <c r="E18" t="str">
        <f t="shared" si="0"/>
        <v>M05</v>
      </c>
      <c r="F18">
        <f t="shared" si="1"/>
        <v>0.877</v>
      </c>
    </row>
    <row r="19" spans="1:6" x14ac:dyDescent="0.3">
      <c r="A19" s="4" t="s">
        <v>48</v>
      </c>
      <c r="B19" s="3" t="s">
        <v>48</v>
      </c>
      <c r="C19" s="10">
        <v>0.90300000000000002</v>
      </c>
      <c r="E19" t="str">
        <f t="shared" si="0"/>
        <v>NEWTON</v>
      </c>
      <c r="F19">
        <f t="shared" si="1"/>
        <v>0.90300000000000002</v>
      </c>
    </row>
    <row r="20" spans="1:6" x14ac:dyDescent="0.3">
      <c r="A20" s="4" t="s">
        <v>49</v>
      </c>
      <c r="B20" s="3" t="s">
        <v>49</v>
      </c>
      <c r="C20" s="10">
        <v>0.90500000000000003</v>
      </c>
      <c r="E20" t="str">
        <f t="shared" si="0"/>
        <v>F05cross</v>
      </c>
      <c r="F20">
        <f t="shared" si="1"/>
        <v>0.90500000000000003</v>
      </c>
    </row>
    <row r="21" spans="1:6" x14ac:dyDescent="0.3">
      <c r="A21" s="4" t="s">
        <v>35</v>
      </c>
      <c r="B21" s="3" t="s">
        <v>35</v>
      </c>
      <c r="C21" s="10">
        <v>0.89800000000000002</v>
      </c>
      <c r="E21" t="str">
        <f t="shared" si="0"/>
        <v>F10</v>
      </c>
      <c r="F21">
        <f t="shared" si="1"/>
        <v>0.89800000000000002</v>
      </c>
    </row>
    <row r="22" spans="1:6" x14ac:dyDescent="0.3">
      <c r="A22" s="4" t="s">
        <v>33</v>
      </c>
      <c r="B22" s="3" t="s">
        <v>33</v>
      </c>
      <c r="C22" s="10">
        <v>0.9</v>
      </c>
      <c r="E22" t="str">
        <f t="shared" si="0"/>
        <v>M15</v>
      </c>
      <c r="F22">
        <f t="shared" si="1"/>
        <v>0.9</v>
      </c>
    </row>
    <row r="23" spans="1:6" x14ac:dyDescent="0.3">
      <c r="A23" s="4" t="s">
        <v>34</v>
      </c>
      <c r="B23" s="3" t="s">
        <v>34</v>
      </c>
      <c r="C23" s="10">
        <v>0.875</v>
      </c>
      <c r="E23" t="str">
        <f t="shared" si="0"/>
        <v>M16</v>
      </c>
      <c r="F23">
        <f t="shared" si="1"/>
        <v>0.875</v>
      </c>
    </row>
    <row r="24" spans="1:6" x14ac:dyDescent="0.3">
      <c r="A24" s="4">
        <v>3571</v>
      </c>
      <c r="B24" s="3">
        <v>3571</v>
      </c>
      <c r="C24" s="10">
        <v>0.76999999999999991</v>
      </c>
      <c r="E24">
        <f t="shared" si="0"/>
        <v>3571</v>
      </c>
      <c r="F24">
        <f t="shared" si="1"/>
        <v>0.76999999999999991</v>
      </c>
    </row>
    <row r="25" spans="1:6" x14ac:dyDescent="0.3">
      <c r="A25" s="4">
        <v>16</v>
      </c>
      <c r="B25" s="9">
        <v>16</v>
      </c>
      <c r="C25" s="10">
        <v>0.88900000000000001</v>
      </c>
      <c r="E25">
        <f t="shared" si="0"/>
        <v>16</v>
      </c>
      <c r="F25">
        <f t="shared" si="1"/>
        <v>0.88900000000000001</v>
      </c>
    </row>
    <row r="26" spans="1:6" x14ac:dyDescent="0.3">
      <c r="A26" s="3">
        <v>3574</v>
      </c>
      <c r="B26" s="9">
        <v>3574</v>
      </c>
      <c r="C26" s="10">
        <v>0.84699999999999998</v>
      </c>
      <c r="E26">
        <f t="shared" si="0"/>
        <v>3574</v>
      </c>
      <c r="F26">
        <f t="shared" si="1"/>
        <v>0.84699999999999998</v>
      </c>
    </row>
    <row r="27" spans="1:6" x14ac:dyDescent="0.3">
      <c r="A27" s="3">
        <v>3577</v>
      </c>
      <c r="B27" s="9">
        <v>3577</v>
      </c>
      <c r="C27" s="10">
        <v>0.83500000000000008</v>
      </c>
      <c r="E27">
        <f t="shared" si="0"/>
        <v>3577</v>
      </c>
      <c r="F27">
        <f t="shared" si="1"/>
        <v>0.83500000000000008</v>
      </c>
    </row>
    <row r="28" spans="1:6" x14ac:dyDescent="0.3">
      <c r="A28" s="3">
        <v>3579</v>
      </c>
      <c r="B28" s="9">
        <v>3579</v>
      </c>
      <c r="C28" s="10">
        <v>0.76200000000000001</v>
      </c>
      <c r="E28">
        <f t="shared" si="0"/>
        <v>3579</v>
      </c>
      <c r="F28">
        <f t="shared" si="1"/>
        <v>0.76200000000000001</v>
      </c>
    </row>
    <row r="29" spans="1:6" x14ac:dyDescent="0.3">
      <c r="A29" s="4">
        <v>3573</v>
      </c>
      <c r="B29" s="3">
        <v>3573</v>
      </c>
      <c r="C29" s="10">
        <v>0.70399999999999996</v>
      </c>
      <c r="E29">
        <f t="shared" si="0"/>
        <v>3573</v>
      </c>
      <c r="F29">
        <f t="shared" si="1"/>
        <v>0.70399999999999996</v>
      </c>
    </row>
    <row r="30" spans="1:6" x14ac:dyDescent="0.3">
      <c r="A30" s="3">
        <v>3568</v>
      </c>
      <c r="B30" s="9">
        <v>3568</v>
      </c>
      <c r="C30" s="10">
        <v>0.74399999999999999</v>
      </c>
      <c r="E30">
        <f t="shared" si="0"/>
        <v>3568</v>
      </c>
      <c r="F30">
        <f t="shared" si="1"/>
        <v>0.74399999999999999</v>
      </c>
    </row>
    <row r="31" spans="1:6" x14ac:dyDescent="0.3">
      <c r="A31" s="3">
        <v>3569</v>
      </c>
      <c r="B31" s="9">
        <v>3569</v>
      </c>
      <c r="C31" s="10">
        <v>0.77899999999999991</v>
      </c>
      <c r="E31">
        <f t="shared" si="0"/>
        <v>3569</v>
      </c>
      <c r="F31">
        <f t="shared" si="1"/>
        <v>0.77899999999999991</v>
      </c>
    </row>
    <row r="32" spans="1:6" x14ac:dyDescent="0.3">
      <c r="A32" s="3">
        <v>3572</v>
      </c>
      <c r="B32" s="9">
        <v>3572</v>
      </c>
      <c r="C32" s="10">
        <v>0.79100000000000004</v>
      </c>
      <c r="E32">
        <f t="shared" si="0"/>
        <v>3572</v>
      </c>
      <c r="F32">
        <f t="shared" si="1"/>
        <v>0.79100000000000004</v>
      </c>
    </row>
    <row r="33" spans="1:6" x14ac:dyDescent="0.3">
      <c r="A33" s="3">
        <v>3575</v>
      </c>
      <c r="B33" s="9">
        <v>3575</v>
      </c>
      <c r="C33" s="10">
        <v>0.76300000000000001</v>
      </c>
      <c r="E33">
        <f t="shared" si="0"/>
        <v>3575</v>
      </c>
      <c r="F33">
        <f t="shared" si="1"/>
        <v>0.76300000000000001</v>
      </c>
    </row>
    <row r="34" spans="1:6" x14ac:dyDescent="0.3">
      <c r="A34" s="3">
        <v>3576</v>
      </c>
      <c r="B34" s="9">
        <v>3576</v>
      </c>
      <c r="C34" s="10">
        <v>0.79500000000000004</v>
      </c>
      <c r="E34">
        <f t="shared" si="0"/>
        <v>3576</v>
      </c>
      <c r="F34">
        <f t="shared" si="1"/>
        <v>0.79500000000000004</v>
      </c>
    </row>
    <row r="35" spans="1:6" x14ac:dyDescent="0.3">
      <c r="A35" s="3">
        <v>3578</v>
      </c>
      <c r="B35" s="9">
        <v>3578</v>
      </c>
      <c r="C35" s="10">
        <v>0.69</v>
      </c>
      <c r="E35">
        <f t="shared" si="0"/>
        <v>3578</v>
      </c>
      <c r="F35">
        <f t="shared" si="1"/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ordering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Savanah Bird</dc:creator>
  <cp:lastModifiedBy>Savanah Bird</cp:lastModifiedBy>
  <dcterms:created xsi:type="dcterms:W3CDTF">2026-01-07T18:10:20Z</dcterms:created>
  <dcterms:modified xsi:type="dcterms:W3CDTF">2026-03-04T18:30:52Z</dcterms:modified>
</cp:coreProperties>
</file>